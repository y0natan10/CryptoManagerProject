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Fall25\CMSC203\Assignment3_Crypto_st (1)\Assignment3_Crypto_st\"/>
    </mc:Choice>
  </mc:AlternateContent>
  <xr:revisionPtr revIDLastSave="0" documentId="13_ncr:1_{B39EFC7B-9924-403D-BA8F-B8AE4DEA0C58}" xr6:coauthVersionLast="47" xr6:coauthVersionMax="47" xr10:uidLastSave="{00000000-0000-0000-0000-000000000000}"/>
  <bookViews>
    <workbookView xWindow="8220" yWindow="1800" windowWidth="13695" windowHeight="11835" xr2:uid="{00000000-000D-0000-FFFF-FFFF00000000}"/>
  </bookViews>
  <sheets>
    <sheet name="Assingnment3_F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8" i="1" s="1"/>
  <c r="B16" i="1"/>
  <c r="B18" i="1" s="1"/>
  <c r="C34" i="1" l="1"/>
  <c r="C3" i="1" s="1"/>
</calcChain>
</file>

<file path=xl/sharedStrings.xml><?xml version="1.0" encoding="utf-8"?>
<sst xmlns="http://schemas.openxmlformats.org/spreadsheetml/2006/main" count="31" uniqueCount="31">
  <si>
    <t>Possible Sub-total</t>
  </si>
  <si>
    <t xml:space="preserve">Possible total grade: </t>
  </si>
  <si>
    <t>Points Earned:</t>
  </si>
  <si>
    <t>Passes private instructor tests</t>
  </si>
  <si>
    <t>TESTING</t>
  </si>
  <si>
    <t>CMSC203 Grading Rubric - Template</t>
  </si>
  <si>
    <t>Project must compile. If it doesn't compile</t>
  </si>
  <si>
    <t xml:space="preserve">Project must run. If it's run time error </t>
  </si>
  <si>
    <t>Possible total Grade: 100</t>
  </si>
  <si>
    <t>General Requirements (Subtracts from TESTING total)</t>
  </si>
  <si>
    <t>Class description comments at the top of the program are missing</t>
  </si>
  <si>
    <t>Incorrect use of indentation, naming convention</t>
  </si>
  <si>
    <t>Required output screenshots are missing</t>
  </si>
  <si>
    <t>Pseudocode or flowchart is missing</t>
  </si>
  <si>
    <t xml:space="preserve">Lessons Learned are missing </t>
  </si>
  <si>
    <t>GitHub screenshot is missing</t>
  </si>
  <si>
    <t>JavaFiles zip file is missing</t>
  </si>
  <si>
    <t>JavaFiles zip file is wrong format</t>
  </si>
  <si>
    <t xml:space="preserve"> ▪ Passes CryptoManagerTestPublic</t>
  </si>
  <si>
    <t xml:space="preserve"> ▪ Provided CryptoManagerTestStudent with test case for every public method</t>
  </si>
  <si>
    <t xml:space="preserve"> ▪ Passes instructor test cases</t>
  </si>
  <si>
    <t xml:space="preserve"> ▪ Methods follow provided requirements</t>
  </si>
  <si>
    <t>JavaDoc Folder (if applicable) is missing</t>
  </si>
  <si>
    <t>Required screenshots of Junit Tests are missing</t>
  </si>
  <si>
    <t>Missing additional comments to clarify a code In each java file</t>
  </si>
  <si>
    <t>Missing "Paragraph" comments at beginning of each method</t>
  </si>
  <si>
    <t>Required Test Plan is missing</t>
  </si>
  <si>
    <t xml:space="preserve"> ▪ Provided screenshots of at least two tests for the Vigenere Cipher</t>
  </si>
  <si>
    <t xml:space="preserve"> ▪ Provided screenshots of at least two tests for the Playfair Cipher</t>
  </si>
  <si>
    <t xml:space="preserve"> ▪ Provided screenshots of at least two tests for the Caesar Cipher</t>
  </si>
  <si>
    <t xml:space="preserve">Student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</si>
</sst>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18" fillId="0" borderId="0" xfId="0" applyFont="1"/>
    <xf numFmtId="0" fontId="16" fillId="0" borderId="0" xfId="0" applyFont="1"/>
    <xf numFmtId="0" fontId="18" fillId="0" borderId="0" xfId="0" applyFont="1" applyAlignment="1">
      <alignment horizontal="left" inden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24" fillId="0" borderId="10" xfId="0" applyFont="1" applyBorder="1" applyAlignment="1">
      <alignment horizontal="right"/>
    </xf>
    <xf numFmtId="0" fontId="24" fillId="0" borderId="10" xfId="0" applyFont="1" applyBorder="1"/>
    <xf numFmtId="0" fontId="16" fillId="0" borderId="11" xfId="0" applyFont="1" applyBorder="1"/>
    <xf numFmtId="0" fontId="0" fillId="0" borderId="11" xfId="0" applyBorder="1"/>
    <xf numFmtId="0" fontId="21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22" fillId="0" borderId="12" xfId="0" applyFont="1" applyBorder="1" applyAlignment="1">
      <alignment vertical="center"/>
    </xf>
    <xf numFmtId="0" fontId="24" fillId="0" borderId="11" xfId="0" applyFont="1" applyBorder="1"/>
    <xf numFmtId="0" fontId="25" fillId="0" borderId="12" xfId="0" applyFont="1" applyBorder="1" applyAlignment="1">
      <alignment horizontal="right" vertical="center"/>
    </xf>
    <xf numFmtId="0" fontId="25" fillId="0" borderId="12" xfId="0" applyFont="1" applyBorder="1" applyAlignment="1">
      <alignment vertical="center"/>
    </xf>
    <xf numFmtId="0" fontId="26" fillId="0" borderId="12" xfId="0" applyFont="1" applyBorder="1" applyAlignment="1">
      <alignment horizontal="left" vertical="center" indent="1"/>
    </xf>
    <xf numFmtId="0" fontId="28" fillId="0" borderId="12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26" fillId="0" borderId="12" xfId="0" applyFont="1" applyBorder="1" applyAlignment="1">
      <alignment horizontal="left" vertical="center" indent="2"/>
    </xf>
    <xf numFmtId="0" fontId="21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7" fillId="0" borderId="12" xfId="0" applyFont="1" applyBorder="1" applyAlignment="1">
      <alignment horizontal="left" vertical="center" indent="3"/>
    </xf>
    <xf numFmtId="0" fontId="0" fillId="0" borderId="13" xfId="0" applyBorder="1"/>
    <xf numFmtId="0" fontId="16" fillId="0" borderId="13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right" vertical="center"/>
    </xf>
    <xf numFmtId="0" fontId="23" fillId="0" borderId="13" xfId="0" applyFont="1" applyBorder="1"/>
    <xf numFmtId="0" fontId="24" fillId="0" borderId="13" xfId="0" applyFont="1" applyBorder="1" applyAlignment="1">
      <alignment horizontal="left" wrapText="1"/>
    </xf>
    <xf numFmtId="0" fontId="16" fillId="0" borderId="14" xfId="0" applyFont="1" applyBorder="1"/>
    <xf numFmtId="0" fontId="0" fillId="0" borderId="14" xfId="0" applyBorder="1"/>
    <xf numFmtId="0" fontId="16" fillId="0" borderId="14" xfId="0" applyFont="1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20" fillId="0" borderId="14" xfId="0" applyFont="1" applyBorder="1" applyAlignment="1">
      <alignment horizontal="left" indent="1"/>
    </xf>
    <xf numFmtId="0" fontId="20" fillId="0" borderId="14" xfId="0" applyFont="1" applyBorder="1"/>
    <xf numFmtId="0" fontId="27" fillId="0" borderId="12" xfId="0" applyFont="1" applyBorder="1" applyAlignment="1">
      <alignment horizontal="left" indent="3"/>
    </xf>
    <xf numFmtId="0" fontId="26" fillId="0" borderId="11" xfId="0" applyFont="1" applyBorder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F000000}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A4" sqref="A4"/>
    </sheetView>
  </sheetViews>
  <sheetFormatPr defaultRowHeight="15" x14ac:dyDescent="0.25"/>
  <cols>
    <col min="1" max="1" width="73" customWidth="1"/>
    <col min="4" max="4" width="6.5703125" style="32" customWidth="1"/>
  </cols>
  <sheetData>
    <row r="1" spans="1:4" ht="60" x14ac:dyDescent="0.25">
      <c r="A1" s="4" t="s">
        <v>5</v>
      </c>
      <c r="B1" s="5" t="s">
        <v>8</v>
      </c>
      <c r="C1" s="24"/>
      <c r="D1" s="31"/>
    </row>
    <row r="2" spans="1:4" x14ac:dyDescent="0.25">
      <c r="A2" s="9"/>
      <c r="B2" s="6"/>
      <c r="C2" s="24"/>
    </row>
    <row r="3" spans="1:4" ht="15.75" x14ac:dyDescent="0.25">
      <c r="A3" s="14" t="s">
        <v>30</v>
      </c>
      <c r="B3" s="6"/>
      <c r="C3" s="25">
        <f>SUM(C18,C34)</f>
        <v>0</v>
      </c>
    </row>
    <row r="4" spans="1:4" x14ac:dyDescent="0.25">
      <c r="A4" s="10"/>
      <c r="B4" s="6"/>
      <c r="C4" s="24"/>
    </row>
    <row r="5" spans="1:4" ht="15.75" x14ac:dyDescent="0.25">
      <c r="A5" s="14" t="s">
        <v>4</v>
      </c>
      <c r="B5" s="6"/>
      <c r="C5" s="24"/>
    </row>
    <row r="6" spans="1:4" x14ac:dyDescent="0.25">
      <c r="A6" s="17" t="s">
        <v>6</v>
      </c>
      <c r="B6" s="12">
        <v>0</v>
      </c>
      <c r="C6" s="24"/>
    </row>
    <row r="7" spans="1:4" ht="15.6" customHeight="1" x14ac:dyDescent="0.25">
      <c r="A7" s="17" t="s">
        <v>7</v>
      </c>
      <c r="B7" s="12">
        <v>25</v>
      </c>
      <c r="C7" s="24"/>
    </row>
    <row r="8" spans="1:4" x14ac:dyDescent="0.25">
      <c r="A8" s="18" t="s">
        <v>3</v>
      </c>
      <c r="B8" s="11"/>
      <c r="C8" s="24"/>
    </row>
    <row r="9" spans="1:4" s="19" customFormat="1" x14ac:dyDescent="0.25">
      <c r="A9" s="23" t="s">
        <v>21</v>
      </c>
      <c r="B9" s="21">
        <v>10</v>
      </c>
      <c r="C9" s="26"/>
      <c r="D9" s="33"/>
    </row>
    <row r="10" spans="1:4" s="19" customFormat="1" x14ac:dyDescent="0.25">
      <c r="A10" s="23" t="s">
        <v>18</v>
      </c>
      <c r="B10" s="21">
        <v>13</v>
      </c>
      <c r="C10" s="26"/>
      <c r="D10" s="34"/>
    </row>
    <row r="11" spans="1:4" s="19" customFormat="1" x14ac:dyDescent="0.25">
      <c r="A11" s="23" t="s">
        <v>19</v>
      </c>
      <c r="B11" s="21">
        <v>24</v>
      </c>
      <c r="C11" s="26"/>
      <c r="D11" s="34"/>
    </row>
    <row r="12" spans="1:4" s="19" customFormat="1" x14ac:dyDescent="0.25">
      <c r="A12" s="23" t="s">
        <v>20</v>
      </c>
      <c r="B12" s="21">
        <v>10</v>
      </c>
      <c r="C12" s="26"/>
      <c r="D12" s="34"/>
    </row>
    <row r="13" spans="1:4" x14ac:dyDescent="0.25">
      <c r="A13" s="37" t="s">
        <v>27</v>
      </c>
      <c r="B13" s="6">
        <v>6</v>
      </c>
      <c r="C13" s="24"/>
      <c r="D13" s="36"/>
    </row>
    <row r="14" spans="1:4" x14ac:dyDescent="0.25">
      <c r="A14" s="37" t="s">
        <v>28</v>
      </c>
      <c r="B14" s="6">
        <v>6</v>
      </c>
      <c r="C14" s="24"/>
      <c r="D14" s="36"/>
    </row>
    <row r="15" spans="1:4" x14ac:dyDescent="0.25">
      <c r="A15" s="37" t="s">
        <v>29</v>
      </c>
      <c r="B15" s="6">
        <v>6</v>
      </c>
      <c r="C15" s="24"/>
      <c r="D15" s="36"/>
    </row>
    <row r="16" spans="1:4" s="19" customFormat="1" x14ac:dyDescent="0.25">
      <c r="A16" s="20"/>
      <c r="B16" s="22">
        <f>SUM(B9:B15)</f>
        <v>75</v>
      </c>
      <c r="C16" s="27">
        <f>SUM(C9:C15)</f>
        <v>0</v>
      </c>
      <c r="D16" s="35"/>
    </row>
    <row r="17" spans="1:4" x14ac:dyDescent="0.25">
      <c r="A17" s="17"/>
      <c r="B17" s="11"/>
      <c r="C17" s="24"/>
    </row>
    <row r="18" spans="1:4" ht="15.75" x14ac:dyDescent="0.25">
      <c r="A18" s="15" t="s">
        <v>0</v>
      </c>
      <c r="B18" s="12">
        <f>SUM(B6,B7,B16)</f>
        <v>100</v>
      </c>
      <c r="C18" s="28">
        <f>SUM(C6,C7,C16)</f>
        <v>0</v>
      </c>
    </row>
    <row r="19" spans="1:4" x14ac:dyDescent="0.25">
      <c r="A19" s="13"/>
      <c r="B19" s="11"/>
      <c r="C19" s="24"/>
      <c r="D19" s="36"/>
    </row>
    <row r="20" spans="1:4" ht="15.75" x14ac:dyDescent="0.25">
      <c r="A20" s="16" t="s">
        <v>9</v>
      </c>
      <c r="B20" s="11"/>
      <c r="C20" s="24"/>
      <c r="D20" s="36"/>
    </row>
    <row r="21" spans="1:4" ht="16.350000000000001" customHeight="1" x14ac:dyDescent="0.25">
      <c r="A21" s="17" t="s">
        <v>10</v>
      </c>
      <c r="B21" s="11">
        <v>-2</v>
      </c>
      <c r="C21" s="24"/>
      <c r="D21" s="36"/>
    </row>
    <row r="22" spans="1:4" ht="16.350000000000001" customHeight="1" x14ac:dyDescent="0.25">
      <c r="A22" s="17" t="s">
        <v>25</v>
      </c>
      <c r="B22" s="11">
        <v>-5</v>
      </c>
      <c r="C22" s="24"/>
      <c r="D22" s="36"/>
    </row>
    <row r="23" spans="1:4" ht="16.350000000000001" customHeight="1" x14ac:dyDescent="0.25">
      <c r="A23" s="17" t="s">
        <v>24</v>
      </c>
      <c r="B23" s="11">
        <v>-5</v>
      </c>
      <c r="C23" s="24"/>
      <c r="D23" s="36"/>
    </row>
    <row r="24" spans="1:4" ht="16.350000000000001" customHeight="1" x14ac:dyDescent="0.25">
      <c r="A24" s="17" t="s">
        <v>11</v>
      </c>
      <c r="B24" s="11">
        <v>-5</v>
      </c>
      <c r="C24" s="24"/>
      <c r="D24" s="36"/>
    </row>
    <row r="25" spans="1:4" ht="16.350000000000001" customHeight="1" x14ac:dyDescent="0.25">
      <c r="A25" s="17" t="s">
        <v>26</v>
      </c>
      <c r="B25" s="11">
        <v>-5</v>
      </c>
      <c r="C25" s="24"/>
      <c r="D25" s="36"/>
    </row>
    <row r="26" spans="1:4" ht="16.350000000000001" customHeight="1" x14ac:dyDescent="0.25">
      <c r="A26" s="17" t="s">
        <v>12</v>
      </c>
      <c r="B26" s="11">
        <v>-10</v>
      </c>
      <c r="C26" s="24"/>
      <c r="D26" s="36"/>
    </row>
    <row r="27" spans="1:4" x14ac:dyDescent="0.25">
      <c r="A27" s="17" t="s">
        <v>23</v>
      </c>
      <c r="B27" s="11">
        <v>-10</v>
      </c>
      <c r="C27" s="24"/>
      <c r="D27" s="36"/>
    </row>
    <row r="28" spans="1:4" x14ac:dyDescent="0.25">
      <c r="A28" s="17" t="s">
        <v>13</v>
      </c>
      <c r="B28" s="11">
        <v>-5</v>
      </c>
      <c r="C28" s="24"/>
      <c r="D28" s="36"/>
    </row>
    <row r="29" spans="1:4" x14ac:dyDescent="0.25">
      <c r="A29" s="17" t="s">
        <v>14</v>
      </c>
      <c r="B29" s="11">
        <v>-10</v>
      </c>
      <c r="C29" s="24"/>
      <c r="D29" s="36"/>
    </row>
    <row r="30" spans="1:4" x14ac:dyDescent="0.25">
      <c r="A30" s="17" t="s">
        <v>15</v>
      </c>
      <c r="B30" s="11">
        <v>-5</v>
      </c>
      <c r="C30" s="24"/>
      <c r="D30" s="36"/>
    </row>
    <row r="31" spans="1:4" x14ac:dyDescent="0.25">
      <c r="A31" s="17" t="s">
        <v>16</v>
      </c>
      <c r="B31" s="11">
        <v>-100</v>
      </c>
      <c r="C31" s="24"/>
      <c r="D31" s="36"/>
    </row>
    <row r="32" spans="1:4" x14ac:dyDescent="0.25">
      <c r="A32" s="17" t="s">
        <v>17</v>
      </c>
      <c r="B32" s="11">
        <v>-5</v>
      </c>
      <c r="C32" s="24"/>
      <c r="D32" s="36"/>
    </row>
    <row r="33" spans="1:4" x14ac:dyDescent="0.25">
      <c r="A33" s="38" t="s">
        <v>22</v>
      </c>
      <c r="B33" s="11">
        <v>-5</v>
      </c>
      <c r="C33" s="24"/>
      <c r="D33" s="36"/>
    </row>
    <row r="34" spans="1:4" ht="15.75" x14ac:dyDescent="0.25">
      <c r="A34" s="6"/>
      <c r="B34" s="4"/>
      <c r="C34" s="29">
        <f>SUM(C21:C32)</f>
        <v>0</v>
      </c>
    </row>
    <row r="35" spans="1:4" ht="29.25" customHeight="1" x14ac:dyDescent="0.25">
      <c r="A35" s="7" t="s">
        <v>1</v>
      </c>
      <c r="B35" s="8"/>
      <c r="C35" s="30" t="s">
        <v>2</v>
      </c>
    </row>
    <row r="36" spans="1:4" ht="15.75" x14ac:dyDescent="0.25">
      <c r="A36" s="1"/>
      <c r="B36" s="1"/>
      <c r="D36" s="36"/>
    </row>
    <row r="37" spans="1:4" ht="15.75" x14ac:dyDescent="0.25">
      <c r="A37" s="1"/>
      <c r="B37" s="1"/>
      <c r="D37" s="36"/>
    </row>
    <row r="38" spans="1:4" ht="15.75" x14ac:dyDescent="0.25">
      <c r="A38" s="1"/>
      <c r="B38" s="1"/>
      <c r="D38" s="36"/>
    </row>
    <row r="39" spans="1:4" ht="15.75" x14ac:dyDescent="0.25">
      <c r="A39" s="2"/>
      <c r="B39" s="1"/>
      <c r="D39" s="36"/>
    </row>
    <row r="40" spans="1:4" ht="15.75" x14ac:dyDescent="0.25">
      <c r="A40" s="1"/>
      <c r="B40" s="1"/>
      <c r="D40" s="36"/>
    </row>
    <row r="41" spans="1:4" ht="15.75" x14ac:dyDescent="0.25">
      <c r="A41" s="1"/>
      <c r="B41" s="3"/>
      <c r="D41" s="36"/>
    </row>
    <row r="42" spans="1:4" ht="15.75" x14ac:dyDescent="0.25">
      <c r="A42" s="1"/>
      <c r="B42" s="1"/>
      <c r="D42" s="36"/>
    </row>
    <row r="43" spans="1:4" ht="15.75" x14ac:dyDescent="0.25">
      <c r="A43" s="1"/>
      <c r="B43" s="1"/>
      <c r="D43" s="36"/>
    </row>
    <row r="44" spans="1:4" ht="15.75" x14ac:dyDescent="0.25">
      <c r="A44" s="1"/>
      <c r="B44" s="1"/>
      <c r="D44" s="36"/>
    </row>
    <row r="45" spans="1:4" x14ac:dyDescent="0.25">
      <c r="D45" s="36"/>
    </row>
    <row r="46" spans="1:4" x14ac:dyDescent="0.25">
      <c r="D46" s="36"/>
    </row>
    <row r="47" spans="1:4" x14ac:dyDescent="0.25">
      <c r="D47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Assingnment3_F25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Grinberg, Grigoriy A</cp:lastModifiedBy>
  <dcterms:created xsi:type="dcterms:W3CDTF">2016-07-26T19:16:15Z</dcterms:created>
  <dcterms:modified xsi:type="dcterms:W3CDTF">2025-10-06T00:50:28Z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